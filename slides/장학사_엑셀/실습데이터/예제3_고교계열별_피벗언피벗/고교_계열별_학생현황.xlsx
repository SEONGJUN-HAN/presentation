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MyProject\presentation\slides\장학사_엑셀\실습데이터\예제3_고교계열별_피벗언피벗\"/>
    </mc:Choice>
  </mc:AlternateContent>
  <xr:revisionPtr revIDLastSave="0" documentId="13_ncr:1_{22D2A158-3DAE-4693-A360-E698FB770C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보고서형(크로스테이블)" sheetId="1" r:id="rId1"/>
    <sheet name="②데이터형(테이블)" sheetId="2" r:id="rId2"/>
    <sheet name="③실습안내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E22" i="1"/>
  <c r="F22" i="1"/>
  <c r="G22" i="1"/>
  <c r="H22" i="1"/>
  <c r="D21" i="1"/>
  <c r="E21" i="1"/>
  <c r="F21" i="1"/>
  <c r="G21" i="1"/>
  <c r="H21" i="1"/>
  <c r="D14" i="1"/>
  <c r="E14" i="1"/>
  <c r="F14" i="1"/>
  <c r="G14" i="1"/>
  <c r="H14" i="1"/>
  <c r="E68" i="2"/>
  <c r="E67" i="2"/>
  <c r="E66" i="2"/>
  <c r="H20" i="1"/>
  <c r="H19" i="1"/>
  <c r="H18" i="1"/>
  <c r="H17" i="1"/>
  <c r="H16" i="1"/>
  <c r="H15" i="1"/>
  <c r="H13" i="1"/>
  <c r="H12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<sst xmlns="http://schemas.openxmlformats.org/spreadsheetml/2006/main" count="304" uniqueCount="48">
  <si>
    <t>○○교육지원청 관내 고등학교 계열별 학생 현황 (2025학년도)</t>
  </si>
  <si>
    <t>※ 설립·학교 셀이 병합되고 계열이 가로로 펼쳐진 '보고서형(크로스테이블)'. 공/사립·계열을 자유롭게 집계하려면 → 언피벗 필요</t>
  </si>
  <si>
    <t>설립</t>
  </si>
  <si>
    <t>학교</t>
  </si>
  <si>
    <t>학년</t>
  </si>
  <si>
    <t>인문계</t>
  </si>
  <si>
    <t>자연계</t>
  </si>
  <si>
    <t>예체능계</t>
  </si>
  <si>
    <t>직업계</t>
  </si>
  <si>
    <t>합계</t>
  </si>
  <si>
    <t>공립</t>
  </si>
  <si>
    <t>가람고</t>
  </si>
  <si>
    <t>1학년</t>
  </si>
  <si>
    <t>2학년</t>
  </si>
  <si>
    <t>3학년</t>
  </si>
  <si>
    <t>다온고</t>
  </si>
  <si>
    <t>마루고</t>
  </si>
  <si>
    <t>사립</t>
  </si>
  <si>
    <t>나래고</t>
  </si>
  <si>
    <t>라온고</t>
  </si>
  <si>
    <t>고등학교 계열별 학생 현황 — 데이터형(테이블)</t>
  </si>
  <si>
    <t>※ 한 줄 = 한 건(설립·학교·학년·계열·학생수). 병합·소계 없음. → 피벗테이블로 공/사립·계열 등 무엇이든 집계 가능</t>
  </si>
  <si>
    <t>계열</t>
  </si>
  <si>
    <t>학생수</t>
  </si>
  <si>
    <t>전체 합계</t>
  </si>
  <si>
    <t>공립 소계</t>
  </si>
  <si>
    <t>사립 소계</t>
  </si>
  <si>
    <t>고교 계열별 학생 현황 — 피벗 / 언피벗 실습 안내</t>
  </si>
  <si>
    <t>[이 파일의 구성]</t>
  </si>
  <si>
    <t>① 보고서형(크로스테이블) : 설립·학교 셀이 병합되고 계열(인문/자연/예체능/직업)이 가로로 펼쳐진 표. 보기엔 좋지만 집계·분석은 어려움.</t>
  </si>
  <si>
    <t>② 데이터형(테이블)       : 한 줄 = 한 건(설립·학교·학년·계열·학생수). 피벗·함수로 무엇이든 집계할 수 있는 '데이터베이스' 형태.</t>
  </si>
  <si>
    <t>→ 두 시트는 같은 데이터입니다. 서로 '피벗 ↔ 언피벗'의 결과가 되도록 만들었습니다.</t>
  </si>
  <si>
    <t>[실습 1] 피벗 : ② 데이터형 → 무엇이든 집계</t>
  </si>
  <si>
    <t>· ②데이터형 표 안 클릭 → [삽입] &gt; [피벗 테이블]</t>
  </si>
  <si>
    <t>· 예) 행: 설립            → 공립/사립 총 학생수</t>
  </si>
  <si>
    <t>· 예) 행: 설립, 열: 계열   → 공·사립별 계열 분포 한눈에</t>
  </si>
  <si>
    <t>· 예) 행: 학교, 학년, 열: 계열 → ①보고서형과 똑같은 모양 재현</t>
  </si>
  <si>
    <t xml:space="preserve">  ⇒ 집계 기준을 마우스로 바꾸기만 하면 표가 즉시 새로 만들어짐 = 데이터베이스 구조의 힘</t>
  </si>
  <si>
    <t>[실습 2] 언피벗 : ① 보고서형 → ② 데이터형 되돌리기</t>
  </si>
  <si>
    <t>· ①보고서형 병합 해제 후 표 선택 → [데이터] &gt; [테이블/범위에서](Power Query)</t>
  </si>
  <si>
    <t>· 설립·학교·학년 열 선택 → 우클릭 &gt; [다른 열 피벗 해제(Unpivot Other Columns)]</t>
  </si>
  <si>
    <t>· 계열 4개 열이 '계열' + '학생수' 두 열로 접히는지 확인 → ②데이터형과 동일</t>
  </si>
  <si>
    <t>[핵심 정리]</t>
  </si>
  <si>
    <t>· 피벗   = 값을 머리글로 '펼치기' (데이터형 → 보고서형, 보기용)</t>
  </si>
  <si>
    <t>· 언피벗 = 머리글을 값으로 '되돌리기' (보고서형 → 데이터형, 분석용)</t>
  </si>
  <si>
    <t>· 집계할 게 많을수록(공/사립·계열·학년…) 데이터형+피벗테이블이 압도적으로 효율적입니다.</t>
  </si>
  <si>
    <t>소계</t>
    <phoneticPr fontId="9" type="noConversion"/>
  </si>
  <si>
    <t>총계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</si>
</sst>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rgb="FFFFFFFF"/>
      <name val="맑은 고딕"/>
      <family val="3"/>
      <charset val="129"/>
    </font>
    <font>
      <i/>
      <sz val="10"/>
      <color rgb="FF595959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rgb="FF1F4E79"/>
      <name val="맑은 고딕"/>
      <family val="3"/>
      <charset val="129"/>
    </font>
    <font>
      <b/>
      <sz val="12"/>
      <color rgb="FF1F4E79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9E1F2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theme="6" tint="0.79998168889431442"/>
        <bgColor indexed="65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9" borderId="0" applyNumberFormat="0" applyBorder="0" applyAlignment="0" applyProtection="0">
      <alignment vertical="center"/>
    </xf>
  </cellStyleXfs>
  <cellXfs count="30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6" fillId="0" borderId="1" xfId="0" applyFont="1" applyBorder="1"/>
    <xf numFmtId="0" fontId="7" fillId="0" borderId="0" xfId="0" applyFont="1"/>
    <xf numFmtId="0" fontId="7" fillId="5" borderId="1" xfId="0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6" fillId="0" borderId="0" xfId="0" applyFont="1" applyAlignment="1">
      <alignment horizontal="left" vertical="center" wrapText="1"/>
    </xf>
    <xf numFmtId="0" fontId="8" fillId="0" borderId="0" xfId="0" applyFont="1"/>
    <xf numFmtId="0" fontId="7" fillId="8" borderId="0" xfId="0" applyFont="1" applyFill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5" fillId="7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0" fillId="0" borderId="0" xfId="0"/>
    <xf numFmtId="0" fontId="2" fillId="2" borderId="0" xfId="0" applyFont="1" applyFill="1" applyAlignment="1">
      <alignment horizontal="center" vertical="center"/>
    </xf>
    <xf numFmtId="3" fontId="5" fillId="5" borderId="1" xfId="0" applyNumberFormat="1" applyFont="1" applyFill="1" applyBorder="1" applyAlignment="1">
      <alignment horizontal="right" vertic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3" fontId="5" fillId="0" borderId="1" xfId="0" applyNumberFormat="1" applyFont="1" applyBorder="1" applyAlignment="1">
      <alignment horizontal="right" vertical="center"/>
    </xf>
    <xf numFmtId="0" fontId="10" fillId="9" borderId="4" xfId="1" applyFont="1" applyBorder="1" applyAlignment="1">
      <alignment horizontal="center"/>
    </xf>
    <xf numFmtId="0" fontId="10" fillId="9" borderId="5" xfId="1" applyFont="1" applyBorder="1" applyAlignment="1">
      <alignment horizontal="center"/>
    </xf>
    <xf numFmtId="0" fontId="10" fillId="9" borderId="6" xfId="1" applyFont="1" applyBorder="1" applyAlignment="1">
      <alignment horizontal="center"/>
    </xf>
    <xf numFmtId="3" fontId="10" fillId="9" borderId="1" xfId="1" applyNumberFormat="1" applyFont="1" applyBorder="1" applyAlignment="1">
      <alignment horizontal="right" vertical="center"/>
    </xf>
  </cellXfs>
  <cellStyles count="2">
    <cellStyle name="20% - 강조색3" xfId="1" builtinId="38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tabSelected="1" workbookViewId="0">
      <selection activeCell="D7" sqref="D7"/>
    </sheetView>
  </sheetViews>
  <sheetFormatPr defaultRowHeight="17.399999999999999"/>
  <cols>
    <col min="1" max="1" width="8" customWidth="1"/>
    <col min="2" max="2" width="11" customWidth="1"/>
    <col min="3" max="3" width="9" customWidth="1"/>
    <col min="4" max="7" width="11" customWidth="1"/>
    <col min="8" max="8" width="10" customWidth="1"/>
  </cols>
  <sheetData>
    <row r="1" spans="1:8" ht="30" customHeight="1">
      <c r="A1" s="20" t="s">
        <v>0</v>
      </c>
      <c r="B1" s="19"/>
      <c r="C1" s="19"/>
      <c r="D1" s="19"/>
      <c r="E1" s="19"/>
      <c r="F1" s="19"/>
      <c r="G1" s="19"/>
      <c r="H1" s="19"/>
    </row>
    <row r="2" spans="1:8" ht="18" customHeight="1">
      <c r="A2" s="18" t="s">
        <v>1</v>
      </c>
      <c r="B2" s="19"/>
      <c r="C2" s="19"/>
      <c r="D2" s="19"/>
      <c r="E2" s="19"/>
      <c r="F2" s="19"/>
      <c r="G2" s="19"/>
      <c r="H2" s="19"/>
    </row>
    <row r="4" spans="1:8" ht="22.05" customHeight="1">
      <c r="A4" s="1" t="s">
        <v>2</v>
      </c>
      <c r="B4" s="1" t="s">
        <v>3</v>
      </c>
      <c r="C4" s="1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1" t="s">
        <v>9</v>
      </c>
    </row>
    <row r="5" spans="1:8">
      <c r="A5" s="17" t="s">
        <v>10</v>
      </c>
      <c r="B5" s="14" t="s">
        <v>11</v>
      </c>
      <c r="C5" s="3" t="s">
        <v>12</v>
      </c>
      <c r="D5" s="4">
        <v>109</v>
      </c>
      <c r="E5" s="4">
        <v>94</v>
      </c>
      <c r="F5" s="4">
        <v>27</v>
      </c>
      <c r="G5" s="4">
        <v>26</v>
      </c>
      <c r="H5" s="5">
        <f t="shared" ref="H5:H20" si="0">SUM(D5:G5)</f>
        <v>256</v>
      </c>
    </row>
    <row r="6" spans="1:8">
      <c r="A6" s="15"/>
      <c r="B6" s="15"/>
      <c r="C6" s="3" t="s">
        <v>13</v>
      </c>
      <c r="D6" s="4">
        <v>116</v>
      </c>
      <c r="E6" s="4">
        <v>94</v>
      </c>
      <c r="F6" s="4">
        <v>36</v>
      </c>
      <c r="G6" s="4">
        <v>19</v>
      </c>
      <c r="H6" s="5">
        <f t="shared" si="0"/>
        <v>265</v>
      </c>
    </row>
    <row r="7" spans="1:8">
      <c r="A7" s="15"/>
      <c r="B7" s="16"/>
      <c r="C7" s="3" t="s">
        <v>14</v>
      </c>
      <c r="D7" s="4">
        <v>122</v>
      </c>
      <c r="E7" s="4">
        <v>122</v>
      </c>
      <c r="F7" s="4">
        <v>25</v>
      </c>
      <c r="G7" s="4">
        <v>32</v>
      </c>
      <c r="H7" s="5">
        <f t="shared" si="0"/>
        <v>301</v>
      </c>
    </row>
    <row r="8" spans="1:8">
      <c r="A8" s="15"/>
      <c r="B8" s="14" t="s">
        <v>15</v>
      </c>
      <c r="C8" s="3" t="s">
        <v>12</v>
      </c>
      <c r="D8" s="4">
        <v>117</v>
      </c>
      <c r="E8" s="4">
        <v>130</v>
      </c>
      <c r="F8" s="4">
        <v>22</v>
      </c>
      <c r="G8" s="4">
        <v>24</v>
      </c>
      <c r="H8" s="5">
        <f t="shared" si="0"/>
        <v>293</v>
      </c>
    </row>
    <row r="9" spans="1:8">
      <c r="A9" s="15"/>
      <c r="B9" s="15"/>
      <c r="C9" s="3" t="s">
        <v>13</v>
      </c>
      <c r="D9" s="4">
        <v>117</v>
      </c>
      <c r="E9" s="4">
        <v>98</v>
      </c>
      <c r="F9" s="4">
        <v>16</v>
      </c>
      <c r="G9" s="4">
        <v>43</v>
      </c>
      <c r="H9" s="5">
        <f t="shared" si="0"/>
        <v>274</v>
      </c>
    </row>
    <row r="10" spans="1:8">
      <c r="A10" s="15"/>
      <c r="B10" s="16"/>
      <c r="C10" s="3" t="s">
        <v>14</v>
      </c>
      <c r="D10" s="4">
        <v>138</v>
      </c>
      <c r="E10" s="4">
        <v>99</v>
      </c>
      <c r="F10" s="4">
        <v>35</v>
      </c>
      <c r="G10" s="4">
        <v>45</v>
      </c>
      <c r="H10" s="5">
        <f t="shared" si="0"/>
        <v>317</v>
      </c>
    </row>
    <row r="11" spans="1:8">
      <c r="A11" s="15"/>
      <c r="B11" s="14" t="s">
        <v>16</v>
      </c>
      <c r="C11" s="3" t="s">
        <v>12</v>
      </c>
      <c r="D11" s="4">
        <v>134</v>
      </c>
      <c r="E11" s="4">
        <v>125</v>
      </c>
      <c r="F11" s="4">
        <v>20</v>
      </c>
      <c r="G11" s="4">
        <v>60</v>
      </c>
      <c r="H11" s="5">
        <f t="shared" si="0"/>
        <v>339</v>
      </c>
    </row>
    <row r="12" spans="1:8">
      <c r="A12" s="15"/>
      <c r="B12" s="15"/>
      <c r="C12" s="3" t="s">
        <v>13</v>
      </c>
      <c r="D12" s="4">
        <v>144</v>
      </c>
      <c r="E12" s="4">
        <v>120</v>
      </c>
      <c r="F12" s="4">
        <v>47</v>
      </c>
      <c r="G12" s="4">
        <v>42</v>
      </c>
      <c r="H12" s="5">
        <f t="shared" si="0"/>
        <v>353</v>
      </c>
    </row>
    <row r="13" spans="1:8">
      <c r="A13" s="16"/>
      <c r="B13" s="16"/>
      <c r="C13" s="3" t="s">
        <v>14</v>
      </c>
      <c r="D13" s="4">
        <v>125</v>
      </c>
      <c r="E13" s="4">
        <v>128</v>
      </c>
      <c r="F13" s="4">
        <v>40</v>
      </c>
      <c r="G13" s="4">
        <v>56</v>
      </c>
      <c r="H13" s="5">
        <f t="shared" si="0"/>
        <v>349</v>
      </c>
    </row>
    <row r="14" spans="1:8">
      <c r="A14" s="22" t="s">
        <v>46</v>
      </c>
      <c r="B14" s="23"/>
      <c r="C14" s="24"/>
      <c r="D14" s="25">
        <f t="shared" ref="D14:H14" si="1">SUM(D5:D13)</f>
        <v>1122</v>
      </c>
      <c r="E14" s="25">
        <f t="shared" si="1"/>
        <v>1010</v>
      </c>
      <c r="F14" s="25">
        <f t="shared" si="1"/>
        <v>268</v>
      </c>
      <c r="G14" s="25">
        <f t="shared" si="1"/>
        <v>347</v>
      </c>
      <c r="H14" s="21">
        <f t="shared" si="1"/>
        <v>2747</v>
      </c>
    </row>
    <row r="15" spans="1:8">
      <c r="A15" s="17" t="s">
        <v>17</v>
      </c>
      <c r="B15" s="14" t="s">
        <v>18</v>
      </c>
      <c r="C15" s="3" t="s">
        <v>12</v>
      </c>
      <c r="D15" s="4">
        <v>98</v>
      </c>
      <c r="E15" s="4">
        <v>91</v>
      </c>
      <c r="F15" s="4">
        <v>26</v>
      </c>
      <c r="G15" s="4">
        <v>35</v>
      </c>
      <c r="H15" s="5">
        <f t="shared" si="0"/>
        <v>250</v>
      </c>
    </row>
    <row r="16" spans="1:8">
      <c r="A16" s="15"/>
      <c r="B16" s="15"/>
      <c r="C16" s="3" t="s">
        <v>13</v>
      </c>
      <c r="D16" s="4">
        <v>99</v>
      </c>
      <c r="E16" s="4">
        <v>101</v>
      </c>
      <c r="F16" s="4">
        <v>27</v>
      </c>
      <c r="G16" s="4">
        <v>35</v>
      </c>
      <c r="H16" s="5">
        <f t="shared" si="0"/>
        <v>262</v>
      </c>
    </row>
    <row r="17" spans="1:8">
      <c r="A17" s="15"/>
      <c r="B17" s="16"/>
      <c r="C17" s="3" t="s">
        <v>14</v>
      </c>
      <c r="D17" s="4">
        <v>106</v>
      </c>
      <c r="E17" s="4">
        <v>104</v>
      </c>
      <c r="F17" s="4">
        <v>22</v>
      </c>
      <c r="G17" s="4">
        <v>30</v>
      </c>
      <c r="H17" s="5">
        <f t="shared" si="0"/>
        <v>262</v>
      </c>
    </row>
    <row r="18" spans="1:8">
      <c r="A18" s="15"/>
      <c r="B18" s="14" t="s">
        <v>19</v>
      </c>
      <c r="C18" s="3" t="s">
        <v>12</v>
      </c>
      <c r="D18" s="4">
        <v>159</v>
      </c>
      <c r="E18" s="4">
        <v>87</v>
      </c>
      <c r="F18" s="4">
        <v>23</v>
      </c>
      <c r="G18" s="4">
        <v>39</v>
      </c>
      <c r="H18" s="5">
        <f t="shared" si="0"/>
        <v>308</v>
      </c>
    </row>
    <row r="19" spans="1:8">
      <c r="A19" s="15"/>
      <c r="B19" s="15"/>
      <c r="C19" s="3" t="s">
        <v>13</v>
      </c>
      <c r="D19" s="4">
        <v>109</v>
      </c>
      <c r="E19" s="4">
        <v>104</v>
      </c>
      <c r="F19" s="4">
        <v>30</v>
      </c>
      <c r="G19" s="4">
        <v>58</v>
      </c>
      <c r="H19" s="5">
        <f t="shared" si="0"/>
        <v>301</v>
      </c>
    </row>
    <row r="20" spans="1:8">
      <c r="A20" s="16"/>
      <c r="B20" s="16"/>
      <c r="C20" s="3" t="s">
        <v>14</v>
      </c>
      <c r="D20" s="4">
        <v>118</v>
      </c>
      <c r="E20" s="4">
        <v>145</v>
      </c>
      <c r="F20" s="4">
        <v>21</v>
      </c>
      <c r="G20" s="4">
        <v>40</v>
      </c>
      <c r="H20" s="5">
        <f t="shared" si="0"/>
        <v>324</v>
      </c>
    </row>
    <row r="21" spans="1:8">
      <c r="A21" s="22" t="s">
        <v>46</v>
      </c>
      <c r="B21" s="23"/>
      <c r="C21" s="24"/>
      <c r="D21" s="25">
        <f t="shared" ref="D21:H21" si="2">SUM(D15:D20)</f>
        <v>689</v>
      </c>
      <c r="E21" s="25">
        <f t="shared" si="2"/>
        <v>632</v>
      </c>
      <c r="F21" s="25">
        <f t="shared" si="2"/>
        <v>149</v>
      </c>
      <c r="G21" s="25">
        <f t="shared" si="2"/>
        <v>237</v>
      </c>
      <c r="H21" s="21">
        <f t="shared" si="2"/>
        <v>1707</v>
      </c>
    </row>
    <row r="22" spans="1:8">
      <c r="A22" s="26" t="s">
        <v>47</v>
      </c>
      <c r="B22" s="27"/>
      <c r="C22" s="28"/>
      <c r="D22" s="29">
        <f t="shared" ref="D22:H22" si="3">D14+D21</f>
        <v>1811</v>
      </c>
      <c r="E22" s="29">
        <f t="shared" si="3"/>
        <v>1642</v>
      </c>
      <c r="F22" s="29">
        <f t="shared" si="3"/>
        <v>417</v>
      </c>
      <c r="G22" s="29">
        <f t="shared" si="3"/>
        <v>584</v>
      </c>
      <c r="H22" s="29">
        <f t="shared" si="3"/>
        <v>4454</v>
      </c>
    </row>
  </sheetData>
  <mergeCells count="12">
    <mergeCell ref="A22:C22"/>
    <mergeCell ref="A1:H1"/>
    <mergeCell ref="A15:A20"/>
    <mergeCell ref="B5:B7"/>
    <mergeCell ref="A14:C14"/>
    <mergeCell ref="A21:C21"/>
    <mergeCell ref="B18:B20"/>
    <mergeCell ref="A5:A13"/>
    <mergeCell ref="A2:H2"/>
    <mergeCell ref="B15:B17"/>
    <mergeCell ref="B11:B13"/>
    <mergeCell ref="B8:B10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8"/>
  <sheetViews>
    <sheetView showGridLines="0" workbookViewId="0">
      <selection sqref="A1:E1"/>
    </sheetView>
  </sheetViews>
  <sheetFormatPr defaultRowHeight="17.399999999999999"/>
  <cols>
    <col min="1" max="1" width="8" customWidth="1"/>
    <col min="2" max="2" width="11" customWidth="1"/>
    <col min="3" max="3" width="9" customWidth="1"/>
    <col min="4" max="4" width="12" customWidth="1"/>
    <col min="5" max="5" width="10" customWidth="1"/>
  </cols>
  <sheetData>
    <row r="1" spans="1:5" ht="30" customHeight="1">
      <c r="A1" s="20" t="s">
        <v>20</v>
      </c>
      <c r="B1" s="19"/>
      <c r="C1" s="19"/>
      <c r="D1" s="19"/>
      <c r="E1" s="19"/>
    </row>
    <row r="2" spans="1:5" ht="18" customHeight="1">
      <c r="A2" s="18" t="s">
        <v>21</v>
      </c>
      <c r="B2" s="19"/>
      <c r="C2" s="19"/>
      <c r="D2" s="19"/>
      <c r="E2" s="19"/>
    </row>
    <row r="4" spans="1:5" ht="22.05" customHeight="1">
      <c r="A4" s="1" t="s">
        <v>2</v>
      </c>
      <c r="B4" s="1" t="s">
        <v>3</v>
      </c>
      <c r="C4" s="1" t="s">
        <v>4</v>
      </c>
      <c r="D4" s="1" t="s">
        <v>22</v>
      </c>
      <c r="E4" s="1" t="s">
        <v>23</v>
      </c>
    </row>
    <row r="5" spans="1:5">
      <c r="A5" s="3" t="s">
        <v>10</v>
      </c>
      <c r="B5" s="6" t="s">
        <v>11</v>
      </c>
      <c r="C5" s="3" t="s">
        <v>12</v>
      </c>
      <c r="D5" s="3" t="s">
        <v>5</v>
      </c>
      <c r="E5" s="4">
        <v>109</v>
      </c>
    </row>
    <row r="6" spans="1:5">
      <c r="A6" s="3" t="s">
        <v>10</v>
      </c>
      <c r="B6" s="6" t="s">
        <v>11</v>
      </c>
      <c r="C6" s="3" t="s">
        <v>12</v>
      </c>
      <c r="D6" s="3" t="s">
        <v>6</v>
      </c>
      <c r="E6" s="4">
        <v>94</v>
      </c>
    </row>
    <row r="7" spans="1:5">
      <c r="A7" s="3" t="s">
        <v>10</v>
      </c>
      <c r="B7" s="6" t="s">
        <v>11</v>
      </c>
      <c r="C7" s="3" t="s">
        <v>12</v>
      </c>
      <c r="D7" s="3" t="s">
        <v>7</v>
      </c>
      <c r="E7" s="4">
        <v>27</v>
      </c>
    </row>
    <row r="8" spans="1:5">
      <c r="A8" s="3" t="s">
        <v>10</v>
      </c>
      <c r="B8" s="6" t="s">
        <v>11</v>
      </c>
      <c r="C8" s="3" t="s">
        <v>12</v>
      </c>
      <c r="D8" s="3" t="s">
        <v>8</v>
      </c>
      <c r="E8" s="4">
        <v>26</v>
      </c>
    </row>
    <row r="9" spans="1:5">
      <c r="A9" s="3" t="s">
        <v>10</v>
      </c>
      <c r="B9" s="6" t="s">
        <v>11</v>
      </c>
      <c r="C9" s="3" t="s">
        <v>13</v>
      </c>
      <c r="D9" s="3" t="s">
        <v>5</v>
      </c>
      <c r="E9" s="4">
        <v>116</v>
      </c>
    </row>
    <row r="10" spans="1:5">
      <c r="A10" s="3" t="s">
        <v>10</v>
      </c>
      <c r="B10" s="6" t="s">
        <v>11</v>
      </c>
      <c r="C10" s="3" t="s">
        <v>13</v>
      </c>
      <c r="D10" s="3" t="s">
        <v>6</v>
      </c>
      <c r="E10" s="4">
        <v>94</v>
      </c>
    </row>
    <row r="11" spans="1:5">
      <c r="A11" s="3" t="s">
        <v>10</v>
      </c>
      <c r="B11" s="6" t="s">
        <v>11</v>
      </c>
      <c r="C11" s="3" t="s">
        <v>13</v>
      </c>
      <c r="D11" s="3" t="s">
        <v>7</v>
      </c>
      <c r="E11" s="4">
        <v>36</v>
      </c>
    </row>
    <row r="12" spans="1:5">
      <c r="A12" s="3" t="s">
        <v>10</v>
      </c>
      <c r="B12" s="6" t="s">
        <v>11</v>
      </c>
      <c r="C12" s="3" t="s">
        <v>13</v>
      </c>
      <c r="D12" s="3" t="s">
        <v>8</v>
      </c>
      <c r="E12" s="4">
        <v>19</v>
      </c>
    </row>
    <row r="13" spans="1:5">
      <c r="A13" s="3" t="s">
        <v>10</v>
      </c>
      <c r="B13" s="6" t="s">
        <v>11</v>
      </c>
      <c r="C13" s="3" t="s">
        <v>14</v>
      </c>
      <c r="D13" s="3" t="s">
        <v>5</v>
      </c>
      <c r="E13" s="4">
        <v>122</v>
      </c>
    </row>
    <row r="14" spans="1:5">
      <c r="A14" s="3" t="s">
        <v>10</v>
      </c>
      <c r="B14" s="6" t="s">
        <v>11</v>
      </c>
      <c r="C14" s="3" t="s">
        <v>14</v>
      </c>
      <c r="D14" s="3" t="s">
        <v>6</v>
      </c>
      <c r="E14" s="4">
        <v>122</v>
      </c>
    </row>
    <row r="15" spans="1:5">
      <c r="A15" s="3" t="s">
        <v>10</v>
      </c>
      <c r="B15" s="6" t="s">
        <v>11</v>
      </c>
      <c r="C15" s="3" t="s">
        <v>14</v>
      </c>
      <c r="D15" s="3" t="s">
        <v>7</v>
      </c>
      <c r="E15" s="4">
        <v>25</v>
      </c>
    </row>
    <row r="16" spans="1:5">
      <c r="A16" s="3" t="s">
        <v>10</v>
      </c>
      <c r="B16" s="6" t="s">
        <v>11</v>
      </c>
      <c r="C16" s="3" t="s">
        <v>14</v>
      </c>
      <c r="D16" s="3" t="s">
        <v>8</v>
      </c>
      <c r="E16" s="4">
        <v>32</v>
      </c>
    </row>
    <row r="17" spans="1:5">
      <c r="A17" s="3" t="s">
        <v>10</v>
      </c>
      <c r="B17" s="6" t="s">
        <v>15</v>
      </c>
      <c r="C17" s="3" t="s">
        <v>12</v>
      </c>
      <c r="D17" s="3" t="s">
        <v>5</v>
      </c>
      <c r="E17" s="4">
        <v>117</v>
      </c>
    </row>
    <row r="18" spans="1:5">
      <c r="A18" s="3" t="s">
        <v>10</v>
      </c>
      <c r="B18" s="6" t="s">
        <v>15</v>
      </c>
      <c r="C18" s="3" t="s">
        <v>12</v>
      </c>
      <c r="D18" s="3" t="s">
        <v>6</v>
      </c>
      <c r="E18" s="4">
        <v>130</v>
      </c>
    </row>
    <row r="19" spans="1:5">
      <c r="A19" s="3" t="s">
        <v>10</v>
      </c>
      <c r="B19" s="6" t="s">
        <v>15</v>
      </c>
      <c r="C19" s="3" t="s">
        <v>12</v>
      </c>
      <c r="D19" s="3" t="s">
        <v>7</v>
      </c>
      <c r="E19" s="4">
        <v>22</v>
      </c>
    </row>
    <row r="20" spans="1:5">
      <c r="A20" s="3" t="s">
        <v>10</v>
      </c>
      <c r="B20" s="6" t="s">
        <v>15</v>
      </c>
      <c r="C20" s="3" t="s">
        <v>12</v>
      </c>
      <c r="D20" s="3" t="s">
        <v>8</v>
      </c>
      <c r="E20" s="4">
        <v>24</v>
      </c>
    </row>
    <row r="21" spans="1:5">
      <c r="A21" s="3" t="s">
        <v>10</v>
      </c>
      <c r="B21" s="6" t="s">
        <v>15</v>
      </c>
      <c r="C21" s="3" t="s">
        <v>13</v>
      </c>
      <c r="D21" s="3" t="s">
        <v>5</v>
      </c>
      <c r="E21" s="4">
        <v>117</v>
      </c>
    </row>
    <row r="22" spans="1:5">
      <c r="A22" s="3" t="s">
        <v>10</v>
      </c>
      <c r="B22" s="6" t="s">
        <v>15</v>
      </c>
      <c r="C22" s="3" t="s">
        <v>13</v>
      </c>
      <c r="D22" s="3" t="s">
        <v>6</v>
      </c>
      <c r="E22" s="4">
        <v>98</v>
      </c>
    </row>
    <row r="23" spans="1:5">
      <c r="A23" s="3" t="s">
        <v>10</v>
      </c>
      <c r="B23" s="6" t="s">
        <v>15</v>
      </c>
      <c r="C23" s="3" t="s">
        <v>13</v>
      </c>
      <c r="D23" s="3" t="s">
        <v>7</v>
      </c>
      <c r="E23" s="4">
        <v>16</v>
      </c>
    </row>
    <row r="24" spans="1:5">
      <c r="A24" s="3" t="s">
        <v>10</v>
      </c>
      <c r="B24" s="6" t="s">
        <v>15</v>
      </c>
      <c r="C24" s="3" t="s">
        <v>13</v>
      </c>
      <c r="D24" s="3" t="s">
        <v>8</v>
      </c>
      <c r="E24" s="4">
        <v>43</v>
      </c>
    </row>
    <row r="25" spans="1:5">
      <c r="A25" s="3" t="s">
        <v>10</v>
      </c>
      <c r="B25" s="6" t="s">
        <v>15</v>
      </c>
      <c r="C25" s="3" t="s">
        <v>14</v>
      </c>
      <c r="D25" s="3" t="s">
        <v>5</v>
      </c>
      <c r="E25" s="4">
        <v>138</v>
      </c>
    </row>
    <row r="26" spans="1:5">
      <c r="A26" s="3" t="s">
        <v>10</v>
      </c>
      <c r="B26" s="6" t="s">
        <v>15</v>
      </c>
      <c r="C26" s="3" t="s">
        <v>14</v>
      </c>
      <c r="D26" s="3" t="s">
        <v>6</v>
      </c>
      <c r="E26" s="4">
        <v>99</v>
      </c>
    </row>
    <row r="27" spans="1:5">
      <c r="A27" s="3" t="s">
        <v>10</v>
      </c>
      <c r="B27" s="6" t="s">
        <v>15</v>
      </c>
      <c r="C27" s="3" t="s">
        <v>14</v>
      </c>
      <c r="D27" s="3" t="s">
        <v>7</v>
      </c>
      <c r="E27" s="4">
        <v>35</v>
      </c>
    </row>
    <row r="28" spans="1:5">
      <c r="A28" s="3" t="s">
        <v>10</v>
      </c>
      <c r="B28" s="6" t="s">
        <v>15</v>
      </c>
      <c r="C28" s="3" t="s">
        <v>14</v>
      </c>
      <c r="D28" s="3" t="s">
        <v>8</v>
      </c>
      <c r="E28" s="4">
        <v>45</v>
      </c>
    </row>
    <row r="29" spans="1:5">
      <c r="A29" s="3" t="s">
        <v>10</v>
      </c>
      <c r="B29" s="6" t="s">
        <v>16</v>
      </c>
      <c r="C29" s="3" t="s">
        <v>12</v>
      </c>
      <c r="D29" s="3" t="s">
        <v>5</v>
      </c>
      <c r="E29" s="4">
        <v>134</v>
      </c>
    </row>
    <row r="30" spans="1:5">
      <c r="A30" s="3" t="s">
        <v>10</v>
      </c>
      <c r="B30" s="6" t="s">
        <v>16</v>
      </c>
      <c r="C30" s="3" t="s">
        <v>12</v>
      </c>
      <c r="D30" s="3" t="s">
        <v>6</v>
      </c>
      <c r="E30" s="4">
        <v>125</v>
      </c>
    </row>
    <row r="31" spans="1:5">
      <c r="A31" s="3" t="s">
        <v>10</v>
      </c>
      <c r="B31" s="6" t="s">
        <v>16</v>
      </c>
      <c r="C31" s="3" t="s">
        <v>12</v>
      </c>
      <c r="D31" s="3" t="s">
        <v>7</v>
      </c>
      <c r="E31" s="4">
        <v>20</v>
      </c>
    </row>
    <row r="32" spans="1:5">
      <c r="A32" s="3" t="s">
        <v>10</v>
      </c>
      <c r="B32" s="6" t="s">
        <v>16</v>
      </c>
      <c r="C32" s="3" t="s">
        <v>12</v>
      </c>
      <c r="D32" s="3" t="s">
        <v>8</v>
      </c>
      <c r="E32" s="4">
        <v>60</v>
      </c>
    </row>
    <row r="33" spans="1:5">
      <c r="A33" s="3" t="s">
        <v>10</v>
      </c>
      <c r="B33" s="6" t="s">
        <v>16</v>
      </c>
      <c r="C33" s="3" t="s">
        <v>13</v>
      </c>
      <c r="D33" s="3" t="s">
        <v>5</v>
      </c>
      <c r="E33" s="4">
        <v>144</v>
      </c>
    </row>
    <row r="34" spans="1:5">
      <c r="A34" s="3" t="s">
        <v>10</v>
      </c>
      <c r="B34" s="6" t="s">
        <v>16</v>
      </c>
      <c r="C34" s="3" t="s">
        <v>13</v>
      </c>
      <c r="D34" s="3" t="s">
        <v>6</v>
      </c>
      <c r="E34" s="4">
        <v>120</v>
      </c>
    </row>
    <row r="35" spans="1:5">
      <c r="A35" s="3" t="s">
        <v>10</v>
      </c>
      <c r="B35" s="6" t="s">
        <v>16</v>
      </c>
      <c r="C35" s="3" t="s">
        <v>13</v>
      </c>
      <c r="D35" s="3" t="s">
        <v>7</v>
      </c>
      <c r="E35" s="4">
        <v>47</v>
      </c>
    </row>
    <row r="36" spans="1:5">
      <c r="A36" s="3" t="s">
        <v>10</v>
      </c>
      <c r="B36" s="6" t="s">
        <v>16</v>
      </c>
      <c r="C36" s="3" t="s">
        <v>13</v>
      </c>
      <c r="D36" s="3" t="s">
        <v>8</v>
      </c>
      <c r="E36" s="4">
        <v>42</v>
      </c>
    </row>
    <row r="37" spans="1:5">
      <c r="A37" s="3" t="s">
        <v>10</v>
      </c>
      <c r="B37" s="6" t="s">
        <v>16</v>
      </c>
      <c r="C37" s="3" t="s">
        <v>14</v>
      </c>
      <c r="D37" s="3" t="s">
        <v>5</v>
      </c>
      <c r="E37" s="4">
        <v>125</v>
      </c>
    </row>
    <row r="38" spans="1:5">
      <c r="A38" s="3" t="s">
        <v>10</v>
      </c>
      <c r="B38" s="6" t="s">
        <v>16</v>
      </c>
      <c r="C38" s="3" t="s">
        <v>14</v>
      </c>
      <c r="D38" s="3" t="s">
        <v>6</v>
      </c>
      <c r="E38" s="4">
        <v>128</v>
      </c>
    </row>
    <row r="39" spans="1:5">
      <c r="A39" s="3" t="s">
        <v>10</v>
      </c>
      <c r="B39" s="6" t="s">
        <v>16</v>
      </c>
      <c r="C39" s="3" t="s">
        <v>14</v>
      </c>
      <c r="D39" s="3" t="s">
        <v>7</v>
      </c>
      <c r="E39" s="4">
        <v>40</v>
      </c>
    </row>
    <row r="40" spans="1:5">
      <c r="A40" s="3" t="s">
        <v>10</v>
      </c>
      <c r="B40" s="6" t="s">
        <v>16</v>
      </c>
      <c r="C40" s="3" t="s">
        <v>14</v>
      </c>
      <c r="D40" s="3" t="s">
        <v>8</v>
      </c>
      <c r="E40" s="4">
        <v>56</v>
      </c>
    </row>
    <row r="41" spans="1:5">
      <c r="A41" s="3" t="s">
        <v>17</v>
      </c>
      <c r="B41" s="6" t="s">
        <v>18</v>
      </c>
      <c r="C41" s="3" t="s">
        <v>12</v>
      </c>
      <c r="D41" s="3" t="s">
        <v>5</v>
      </c>
      <c r="E41" s="4">
        <v>98</v>
      </c>
    </row>
    <row r="42" spans="1:5">
      <c r="A42" s="3" t="s">
        <v>17</v>
      </c>
      <c r="B42" s="6" t="s">
        <v>18</v>
      </c>
      <c r="C42" s="3" t="s">
        <v>12</v>
      </c>
      <c r="D42" s="3" t="s">
        <v>6</v>
      </c>
      <c r="E42" s="4">
        <v>91</v>
      </c>
    </row>
    <row r="43" spans="1:5">
      <c r="A43" s="3" t="s">
        <v>17</v>
      </c>
      <c r="B43" s="6" t="s">
        <v>18</v>
      </c>
      <c r="C43" s="3" t="s">
        <v>12</v>
      </c>
      <c r="D43" s="3" t="s">
        <v>7</v>
      </c>
      <c r="E43" s="4">
        <v>26</v>
      </c>
    </row>
    <row r="44" spans="1:5">
      <c r="A44" s="3" t="s">
        <v>17</v>
      </c>
      <c r="B44" s="6" t="s">
        <v>18</v>
      </c>
      <c r="C44" s="3" t="s">
        <v>12</v>
      </c>
      <c r="D44" s="3" t="s">
        <v>8</v>
      </c>
      <c r="E44" s="4">
        <v>35</v>
      </c>
    </row>
    <row r="45" spans="1:5">
      <c r="A45" s="3" t="s">
        <v>17</v>
      </c>
      <c r="B45" s="6" t="s">
        <v>18</v>
      </c>
      <c r="C45" s="3" t="s">
        <v>13</v>
      </c>
      <c r="D45" s="3" t="s">
        <v>5</v>
      </c>
      <c r="E45" s="4">
        <v>99</v>
      </c>
    </row>
    <row r="46" spans="1:5">
      <c r="A46" s="3" t="s">
        <v>17</v>
      </c>
      <c r="B46" s="6" t="s">
        <v>18</v>
      </c>
      <c r="C46" s="3" t="s">
        <v>13</v>
      </c>
      <c r="D46" s="3" t="s">
        <v>6</v>
      </c>
      <c r="E46" s="4">
        <v>101</v>
      </c>
    </row>
    <row r="47" spans="1:5">
      <c r="A47" s="3" t="s">
        <v>17</v>
      </c>
      <c r="B47" s="6" t="s">
        <v>18</v>
      </c>
      <c r="C47" s="3" t="s">
        <v>13</v>
      </c>
      <c r="D47" s="3" t="s">
        <v>7</v>
      </c>
      <c r="E47" s="4">
        <v>27</v>
      </c>
    </row>
    <row r="48" spans="1:5">
      <c r="A48" s="3" t="s">
        <v>17</v>
      </c>
      <c r="B48" s="6" t="s">
        <v>18</v>
      </c>
      <c r="C48" s="3" t="s">
        <v>13</v>
      </c>
      <c r="D48" s="3" t="s">
        <v>8</v>
      </c>
      <c r="E48" s="4">
        <v>35</v>
      </c>
    </row>
    <row r="49" spans="1:5">
      <c r="A49" s="3" t="s">
        <v>17</v>
      </c>
      <c r="B49" s="6" t="s">
        <v>18</v>
      </c>
      <c r="C49" s="3" t="s">
        <v>14</v>
      </c>
      <c r="D49" s="3" t="s">
        <v>5</v>
      </c>
      <c r="E49" s="4">
        <v>106</v>
      </c>
    </row>
    <row r="50" spans="1:5">
      <c r="A50" s="3" t="s">
        <v>17</v>
      </c>
      <c r="B50" s="6" t="s">
        <v>18</v>
      </c>
      <c r="C50" s="3" t="s">
        <v>14</v>
      </c>
      <c r="D50" s="3" t="s">
        <v>6</v>
      </c>
      <c r="E50" s="4">
        <v>104</v>
      </c>
    </row>
    <row r="51" spans="1:5">
      <c r="A51" s="3" t="s">
        <v>17</v>
      </c>
      <c r="B51" s="6" t="s">
        <v>18</v>
      </c>
      <c r="C51" s="3" t="s">
        <v>14</v>
      </c>
      <c r="D51" s="3" t="s">
        <v>7</v>
      </c>
      <c r="E51" s="4">
        <v>22</v>
      </c>
    </row>
    <row r="52" spans="1:5">
      <c r="A52" s="3" t="s">
        <v>17</v>
      </c>
      <c r="B52" s="6" t="s">
        <v>18</v>
      </c>
      <c r="C52" s="3" t="s">
        <v>14</v>
      </c>
      <c r="D52" s="3" t="s">
        <v>8</v>
      </c>
      <c r="E52" s="4">
        <v>30</v>
      </c>
    </row>
    <row r="53" spans="1:5">
      <c r="A53" s="3" t="s">
        <v>17</v>
      </c>
      <c r="B53" s="6" t="s">
        <v>19</v>
      </c>
      <c r="C53" s="3" t="s">
        <v>12</v>
      </c>
      <c r="D53" s="3" t="s">
        <v>5</v>
      </c>
      <c r="E53" s="4">
        <v>159</v>
      </c>
    </row>
    <row r="54" spans="1:5">
      <c r="A54" s="3" t="s">
        <v>17</v>
      </c>
      <c r="B54" s="6" t="s">
        <v>19</v>
      </c>
      <c r="C54" s="3" t="s">
        <v>12</v>
      </c>
      <c r="D54" s="3" t="s">
        <v>6</v>
      </c>
      <c r="E54" s="4">
        <v>87</v>
      </c>
    </row>
    <row r="55" spans="1:5">
      <c r="A55" s="3" t="s">
        <v>17</v>
      </c>
      <c r="B55" s="6" t="s">
        <v>19</v>
      </c>
      <c r="C55" s="3" t="s">
        <v>12</v>
      </c>
      <c r="D55" s="3" t="s">
        <v>7</v>
      </c>
      <c r="E55" s="4">
        <v>23</v>
      </c>
    </row>
    <row r="56" spans="1:5">
      <c r="A56" s="3" t="s">
        <v>17</v>
      </c>
      <c r="B56" s="6" t="s">
        <v>19</v>
      </c>
      <c r="C56" s="3" t="s">
        <v>12</v>
      </c>
      <c r="D56" s="3" t="s">
        <v>8</v>
      </c>
      <c r="E56" s="4">
        <v>39</v>
      </c>
    </row>
    <row r="57" spans="1:5">
      <c r="A57" s="3" t="s">
        <v>17</v>
      </c>
      <c r="B57" s="6" t="s">
        <v>19</v>
      </c>
      <c r="C57" s="3" t="s">
        <v>13</v>
      </c>
      <c r="D57" s="3" t="s">
        <v>5</v>
      </c>
      <c r="E57" s="4">
        <v>109</v>
      </c>
    </row>
    <row r="58" spans="1:5">
      <c r="A58" s="3" t="s">
        <v>17</v>
      </c>
      <c r="B58" s="6" t="s">
        <v>19</v>
      </c>
      <c r="C58" s="3" t="s">
        <v>13</v>
      </c>
      <c r="D58" s="3" t="s">
        <v>6</v>
      </c>
      <c r="E58" s="4">
        <v>104</v>
      </c>
    </row>
    <row r="59" spans="1:5">
      <c r="A59" s="3" t="s">
        <v>17</v>
      </c>
      <c r="B59" s="6" t="s">
        <v>19</v>
      </c>
      <c r="C59" s="3" t="s">
        <v>13</v>
      </c>
      <c r="D59" s="3" t="s">
        <v>7</v>
      </c>
      <c r="E59" s="4">
        <v>30</v>
      </c>
    </row>
    <row r="60" spans="1:5">
      <c r="A60" s="3" t="s">
        <v>17</v>
      </c>
      <c r="B60" s="6" t="s">
        <v>19</v>
      </c>
      <c r="C60" s="3" t="s">
        <v>13</v>
      </c>
      <c r="D60" s="3" t="s">
        <v>8</v>
      </c>
      <c r="E60" s="4">
        <v>58</v>
      </c>
    </row>
    <row r="61" spans="1:5">
      <c r="A61" s="3" t="s">
        <v>17</v>
      </c>
      <c r="B61" s="6" t="s">
        <v>19</v>
      </c>
      <c r="C61" s="3" t="s">
        <v>14</v>
      </c>
      <c r="D61" s="3" t="s">
        <v>5</v>
      </c>
      <c r="E61" s="4">
        <v>118</v>
      </c>
    </row>
    <row r="62" spans="1:5">
      <c r="A62" s="3" t="s">
        <v>17</v>
      </c>
      <c r="B62" s="6" t="s">
        <v>19</v>
      </c>
      <c r="C62" s="3" t="s">
        <v>14</v>
      </c>
      <c r="D62" s="3" t="s">
        <v>6</v>
      </c>
      <c r="E62" s="4">
        <v>145</v>
      </c>
    </row>
    <row r="63" spans="1:5">
      <c r="A63" s="3" t="s">
        <v>17</v>
      </c>
      <c r="B63" s="6" t="s">
        <v>19</v>
      </c>
      <c r="C63" s="3" t="s">
        <v>14</v>
      </c>
      <c r="D63" s="3" t="s">
        <v>7</v>
      </c>
      <c r="E63" s="4">
        <v>21</v>
      </c>
    </row>
    <row r="64" spans="1:5">
      <c r="A64" s="3" t="s">
        <v>17</v>
      </c>
      <c r="B64" s="6" t="s">
        <v>19</v>
      </c>
      <c r="C64" s="3" t="s">
        <v>14</v>
      </c>
      <c r="D64" s="3" t="s">
        <v>8</v>
      </c>
      <c r="E64" s="4">
        <v>40</v>
      </c>
    </row>
    <row r="66" spans="4:5">
      <c r="D66" s="7" t="s">
        <v>24</v>
      </c>
      <c r="E66" s="8">
        <f>SUM(E5:E64)</f>
        <v>4454</v>
      </c>
    </row>
    <row r="67" spans="4:5">
      <c r="D67" s="7" t="s">
        <v>25</v>
      </c>
      <c r="E67" s="9">
        <f>SUMIF(A5:A64,"공립",E5:E64)</f>
        <v>2747</v>
      </c>
    </row>
    <row r="68" spans="4:5">
      <c r="D68" s="7" t="s">
        <v>26</v>
      </c>
      <c r="E68" s="9">
        <f>SUMIF(A5:A64,"사립",E5:E64)</f>
        <v>1707</v>
      </c>
    </row>
  </sheetData>
  <mergeCells count="2">
    <mergeCell ref="A2:E2"/>
    <mergeCell ref="A1:E1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showGridLines="0" workbookViewId="0"/>
  </sheetViews>
  <sheetFormatPr defaultRowHeight="17.399999999999999"/>
  <cols>
    <col min="1" max="1" width="104" customWidth="1"/>
  </cols>
  <sheetData>
    <row r="1" spans="1:1" ht="30" customHeight="1">
      <c r="A1" s="10" t="s">
        <v>27</v>
      </c>
    </row>
    <row r="2" spans="1:1">
      <c r="A2" s="11"/>
    </row>
    <row r="3" spans="1:1" ht="19.2">
      <c r="A3" s="12" t="s">
        <v>28</v>
      </c>
    </row>
    <row r="4" spans="1:1" ht="34.799999999999997">
      <c r="A4" s="11" t="s">
        <v>29</v>
      </c>
    </row>
    <row r="5" spans="1:1">
      <c r="A5" s="11" t="s">
        <v>30</v>
      </c>
    </row>
    <row r="6" spans="1:1">
      <c r="A6" s="13" t="s">
        <v>31</v>
      </c>
    </row>
    <row r="7" spans="1:1">
      <c r="A7" s="11"/>
    </row>
    <row r="8" spans="1:1" ht="19.2">
      <c r="A8" s="12" t="s">
        <v>32</v>
      </c>
    </row>
    <row r="9" spans="1:1">
      <c r="A9" s="11" t="s">
        <v>33</v>
      </c>
    </row>
    <row r="10" spans="1:1">
      <c r="A10" s="11" t="s">
        <v>34</v>
      </c>
    </row>
    <row r="11" spans="1:1">
      <c r="A11" s="11" t="s">
        <v>35</v>
      </c>
    </row>
    <row r="12" spans="1:1">
      <c r="A12" s="11" t="s">
        <v>36</v>
      </c>
    </row>
    <row r="13" spans="1:1">
      <c r="A13" s="13" t="s">
        <v>37</v>
      </c>
    </row>
    <row r="14" spans="1:1">
      <c r="A14" s="11"/>
    </row>
    <row r="15" spans="1:1" ht="19.2">
      <c r="A15" s="12" t="s">
        <v>38</v>
      </c>
    </row>
    <row r="16" spans="1:1">
      <c r="A16" s="11" t="s">
        <v>39</v>
      </c>
    </row>
    <row r="17" spans="1:1">
      <c r="A17" s="11" t="s">
        <v>40</v>
      </c>
    </row>
    <row r="18" spans="1:1">
      <c r="A18" s="11" t="s">
        <v>41</v>
      </c>
    </row>
    <row r="19" spans="1:1">
      <c r="A19" s="11"/>
    </row>
    <row r="20" spans="1:1" ht="19.2">
      <c r="A20" s="12" t="s">
        <v>42</v>
      </c>
    </row>
    <row r="21" spans="1:1">
      <c r="A21" s="13" t="s">
        <v>43</v>
      </c>
    </row>
    <row r="22" spans="1:1">
      <c r="A22" s="13" t="s">
        <v>44</v>
      </c>
    </row>
    <row r="23" spans="1:1">
      <c r="A23" s="11" t="s">
        <v>45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①보고서형(크로스테이블)</vt:lpstr>
      <vt:lpstr>②데이터형(테이블)</vt:lpstr>
      <vt:lpstr>③실습안내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성준 한</cp:lastModifiedBy>
  <dcterms:created xsi:type="dcterms:W3CDTF">2026-07-22T11:12:48Z</dcterms:created>
  <dcterms:modified xsi:type="dcterms:W3CDTF">2026-07-22T20:18:29Z</dcterms:modified>
</cp:coreProperties>
</file>